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838696B5-7C0E-431F-A76F-DCA90A74C36C}" xr6:coauthVersionLast="47" xr6:coauthVersionMax="47" xr10:uidLastSave="{00000000-0000-0000-0000-000000000000}"/>
  <bookViews>
    <workbookView xWindow="-110" yWindow="-110" windowWidth="23260" windowHeight="1486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88" i="1" l="1"/>
  <c r="D887" i="1"/>
  <c r="D886" i="1"/>
  <c r="D885" i="1" l="1"/>
  <c r="D884" i="1" l="1"/>
  <c r="D883" i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<sst xmlns="http://schemas.openxmlformats.org/spreadsheetml/2006/main" count="11" uniqueCount="11">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</sst>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F400]h:mm:ss\ AM/PM"/>
  </numFmts>
  <fonts count="8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6" fontId="6" fillId="0" borderId="2" xfId="0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757"/>
            <c:marker>
              <c:symbol val="none"/>
            </c:marker>
            <c:bubble3D val="0"/>
            <c:spPr>
              <a:ln w="2222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A16-44AC-9102-B33C30064F60}"/>
              </c:ext>
            </c:extLst>
          </c:dPt>
          <c:cat>
            <c:numRef>
              <c:f>USRT!$B$2:$B$885</c:f>
              <c:numCache>
                <c:formatCode>yyyy\-mm\-dd;@</c:formatCode>
                <c:ptCount val="884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</c:numCache>
            </c:numRef>
          </c:cat>
          <c:val>
            <c:numRef>
              <c:f>USRT!$E$2:$E$885</c:f>
              <c:numCache>
                <c:formatCode>_(* #,##0_);_(* \(#,##0\);_(* "-"??_);_(@_)</c:formatCode>
                <c:ptCount val="884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16-44AC-9102-B33C30064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3398112"/>
        <c:axId val="317933392"/>
      </c:lineChart>
      <c:dateAx>
        <c:axId val="323398112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33392"/>
        <c:crosses val="autoZero"/>
        <c:auto val="1"/>
        <c:lblOffset val="100"/>
        <c:baseTimeUnit val="days"/>
        <c:majorUnit val="1"/>
        <c:majorTimeUnit val="years"/>
      </c:dateAx>
      <c:valAx>
        <c:axId val="317933392"/>
        <c:scaling>
          <c:orientation val="minMax"/>
          <c:max val="610000"/>
          <c:min val="3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2339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61913</xdr:colOff>
      <xdr:row>24</xdr:row>
      <xdr:rowOff>138113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212F3-3128-48CB-B97E-F9B8309901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88"/>
  <sheetViews>
    <sheetView tabSelected="1" workbookViewId="0">
      <pane xSplit="6" ySplit="3" topLeftCell="G865" activePane="bottomRight" state="frozen"/>
      <selection pane="topRight" activeCell="D1" sqref="D1"/>
      <selection pane="bottomLeft" activeCell="A4" sqref="A4"/>
      <selection pane="bottomRight" activeCell="E888" sqref="E888"/>
    </sheetView>
  </sheetViews>
  <sheetFormatPr defaultColWidth="9.1796875" defaultRowHeight="13.5"/>
  <cols>
    <col min="1" max="1" width="13.1796875" style="8" bestFit="1" customWidth="1"/>
    <col min="2" max="2" width="16.1796875" style="8" bestFit="1" customWidth="1"/>
    <col min="3" max="3" width="15.26953125" style="21" bestFit="1" customWidth="1"/>
    <col min="4" max="4" width="13" style="8" bestFit="1" customWidth="1"/>
    <col min="5" max="5" width="12.453125" style="20" bestFit="1" customWidth="1"/>
    <col min="6" max="16384" width="9.1796875" style="6"/>
  </cols>
  <sheetData>
    <row r="1" spans="1: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>
      <c r="A2" s="7">
        <v>39823</v>
      </c>
      <c r="B2" s="8">
        <v>39827</v>
      </c>
      <c r="C2" s="9">
        <v>0.5</v>
      </c>
      <c r="D2" s="7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>
      <c r="A3" s="7">
        <v>39830</v>
      </c>
      <c r="B3" s="8">
        <v>39834</v>
      </c>
      <c r="C3" s="9">
        <v>0.5</v>
      </c>
      <c r="D3" s="7" t="str">
        <f t="shared" si="0"/>
        <v>UTC-5</v>
      </c>
      <c r="E3" s="10">
        <v>465386</v>
      </c>
    </row>
    <row r="4" spans="1: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4" thickBot="1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4" thickBot="1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4" thickBot="1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4" thickBot="1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4" thickBot="1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4" thickBot="1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4" thickBot="1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4" thickBot="1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4" thickBot="1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4" thickBot="1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4" thickBot="1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4" thickBot="1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4" thickBot="1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4" thickBot="1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4" thickBot="1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4" thickBot="1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4" thickBot="1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4" thickBot="1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4" thickBot="1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4" thickBot="1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4" thickBot="1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4" thickBot="1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4" thickBot="1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4" thickBot="1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4" thickBot="1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4" thickBot="1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4" thickBot="1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4" thickBot="1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4" thickBot="1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4" thickBot="1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4" thickBot="1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4" thickBot="1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4" thickBot="1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4" thickBot="1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4" thickBot="1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4" thickBot="1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4" thickBot="1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4" thickBot="1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4" thickBot="1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4" thickBot="1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4" thickBot="1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4" thickBot="1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4" thickBot="1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4" thickBot="1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4" thickBot="1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4" thickBot="1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4" thickBot="1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4" thickBot="1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4" thickBot="1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4" thickBot="1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4" thickBot="1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4" thickBot="1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4" thickBot="1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4" thickBot="1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4" thickBot="1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4" thickBot="1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4" thickBot="1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4" thickBot="1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4" thickBot="1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4" thickBot="1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4" thickBot="1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4" thickBot="1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4" thickBot="1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4" thickBot="1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4" thickBot="1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4" thickBot="1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4" thickBot="1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4" thickBot="1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4" thickBot="1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4" thickBot="1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4" thickBot="1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4" thickBot="1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4" thickBot="1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4" thickBot="1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4" thickBot="1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4" thickBot="1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4" thickBot="1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4" thickBot="1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4" thickBot="1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4" thickBot="1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4" thickBot="1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4" thickBot="1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4" thickBot="1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4" thickBot="1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4" thickBot="1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4" thickBot="1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4" thickBot="1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4" thickBot="1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4" thickBot="1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4" thickBot="1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4" thickBot="1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4" thickBot="1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4" thickBot="1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4" thickBot="1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4" thickBot="1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4" thickBot="1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4" thickBot="1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4" thickBot="1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4" thickBot="1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4" thickBot="1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4" thickBot="1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4" thickBot="1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4" thickBot="1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4" thickBot="1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4" thickBot="1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4" thickBot="1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4" thickBot="1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4" thickBot="1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4" thickBot="1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4" thickBot="1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4" thickBot="1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4" thickBot="1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4" thickBot="1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4" thickBot="1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4" thickBot="1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4" thickBot="1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4" thickBot="1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4" thickBot="1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4" thickBot="1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4" thickBot="1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4" thickBot="1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4" thickBot="1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4" thickBot="1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4" thickBot="1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4" thickBot="1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4" thickBot="1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4" thickBot="1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4" thickBot="1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4" thickBot="1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4" thickBot="1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4" thickBot="1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4" thickBot="1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4" thickBot="1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4" thickBot="1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4" thickBot="1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4" thickBot="1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4" thickBot="1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4" thickBot="1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4" thickBot="1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4" thickBot="1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4" thickBot="1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4" thickBot="1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4" thickBot="1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4" thickBot="1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4" thickBot="1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4" thickBot="1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4" thickBot="1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4" thickBot="1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4" thickBot="1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4" thickBot="1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4" thickBot="1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4" thickBot="1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4" thickBot="1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4" thickBot="1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4" thickBot="1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4" thickBot="1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4" thickBot="1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4" thickBot="1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4" thickBot="1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4" thickBot="1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4" thickBot="1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4" thickBot="1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4" thickBot="1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4" thickBot="1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4" thickBot="1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4" thickBot="1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4" thickBot="1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4" thickBot="1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4" thickBot="1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4" thickBot="1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4" thickBot="1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4" thickBot="1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4" thickBot="1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4" thickBot="1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4" thickBot="1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4" thickBot="1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4" thickBot="1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4" thickBot="1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4" thickBot="1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4" thickBot="1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4" thickBot="1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4" thickBot="1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4" thickBot="1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4" thickBot="1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4" thickBot="1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4" thickBot="1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4" thickBot="1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4" thickBot="1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4" thickBot="1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4" thickBot="1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4" thickBot="1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4" thickBot="1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4" thickBot="1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4" thickBot="1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4" thickBot="1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4" thickBot="1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4" thickBot="1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4" thickBot="1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4" thickBot="1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4" thickBot="1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4" thickBot="1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4" thickBot="1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4" thickBot="1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4" thickBot="1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4" thickBot="1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4" thickBot="1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4" thickBot="1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4" thickBot="1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4" thickBot="1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4" thickBot="1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4" thickBot="1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4" thickBot="1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4" thickBot="1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4" thickBot="1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4" thickBot="1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4" thickBot="1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4" thickBot="1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4" thickBot="1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4" thickBot="1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4" thickBot="1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4" thickBot="1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4" thickBot="1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4" thickBot="1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4" thickBot="1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4" thickBot="1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4" thickBot="1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4" thickBot="1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4" thickBot="1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4" thickBot="1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4" thickBot="1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4" thickBot="1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4" thickBot="1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4" thickBot="1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4" thickBot="1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4" thickBot="1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4" thickBot="1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4" thickBot="1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4" thickBot="1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4" thickBot="1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4" thickBot="1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4" thickBot="1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4" thickBot="1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4" thickBot="1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4" thickBot="1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4" thickBot="1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4" thickBot="1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4" thickBot="1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4" thickBot="1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4" thickBot="1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4" thickBot="1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4" thickBot="1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4" thickBot="1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4" thickBot="1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4" thickBot="1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4" thickBot="1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4" thickBot="1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4" thickBot="1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4" thickBot="1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4" thickBot="1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4" thickBot="1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4" thickBot="1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4" thickBot="1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4" thickBot="1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4" thickBot="1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4" thickBot="1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4" thickBot="1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4" thickBot="1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4" thickBot="1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4" thickBot="1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4" thickBot="1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4" thickBot="1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4" thickBot="1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4" thickBot="1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4" thickBot="1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4" thickBot="1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4" thickBot="1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4" thickBot="1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4" thickBot="1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4" thickBot="1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4" thickBot="1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4" thickBot="1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4" thickBot="1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4" thickBot="1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4" thickBot="1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4" thickBot="1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4" thickBot="1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4" thickBot="1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4" thickBot="1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4" thickBot="1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4" thickBot="1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4" thickBot="1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4" thickBot="1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4" thickBot="1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4" thickBot="1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4" thickBot="1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4" thickBot="1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4" thickBot="1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4" thickBot="1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4" thickBot="1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4" thickBot="1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4" thickBot="1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4" thickBot="1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4" thickBot="1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4" thickBot="1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4" thickBot="1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4" thickBot="1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4" thickBot="1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4" thickBot="1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4" thickBot="1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4" thickBot="1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4" thickBot="1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4" thickBot="1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4" thickBot="1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4" thickBot="1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4" thickBot="1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4" thickBot="1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4" thickBot="1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4" thickBot="1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4" thickBot="1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4" thickBot="1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4" thickBot="1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4" thickBot="1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4" thickBot="1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4" thickBot="1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4" thickBot="1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4" thickBot="1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4" thickBot="1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4" thickBot="1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4" thickBot="1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4" thickBot="1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4" thickBot="1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4" thickBot="1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4" thickBot="1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4" thickBot="1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4" thickBot="1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4" thickBot="1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4" thickBot="1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4" thickBot="1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4" thickBot="1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4" thickBot="1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4" thickBot="1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4" thickBot="1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4" thickBot="1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4" thickBot="1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4" thickBot="1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4" thickBot="1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4" thickBot="1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4" thickBot="1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4" thickBot="1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4" thickBot="1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4" thickBot="1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4" thickBot="1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4" thickBot="1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4" thickBot="1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4" thickBot="1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4" thickBot="1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4" thickBot="1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4" thickBot="1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4" thickBot="1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4" thickBot="1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4" thickBot="1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4" thickBot="1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4" thickBot="1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4" thickBot="1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4" thickBot="1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4" thickBot="1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4" thickBot="1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4" thickBot="1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4" thickBot="1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4" thickBot="1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4" thickBot="1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4" thickBot="1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4" thickBot="1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4" thickBot="1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4" thickBot="1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4" thickBot="1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4" thickBot="1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4" thickBot="1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4" thickBot="1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4" thickBot="1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4" thickBot="1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4" thickBot="1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4" thickBot="1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4" thickBot="1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4" thickBot="1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4" thickBot="1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4" thickBot="1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4" thickBot="1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4" thickBot="1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4" thickBot="1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4" thickBot="1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4" thickBot="1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4" thickBot="1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4" thickBot="1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4" thickBot="1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4" thickBot="1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4" thickBot="1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4" thickBot="1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4" thickBot="1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4" thickBot="1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4" thickBot="1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4" thickBot="1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4" thickBot="1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4" thickBot="1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4" thickBot="1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4" thickBot="1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4" thickBot="1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4" thickBot="1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4" thickBot="1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4" thickBot="1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4" thickBot="1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4" thickBot="1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4" thickBot="1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4" thickBot="1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4" thickBot="1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4" thickBot="1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4" thickBot="1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4" thickBot="1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4" thickBot="1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4" thickBot="1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4" thickBot="1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4" thickBot="1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4" thickBot="1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4" thickBot="1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4" thickBot="1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4" thickBot="1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4" thickBot="1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4" thickBot="1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4" thickBot="1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4" thickBot="1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4" thickBot="1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4" thickBot="1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4" thickBot="1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4" thickBot="1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4" thickBot="1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4" thickBot="1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4" thickBot="1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4" thickBot="1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4" thickBot="1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4" thickBot="1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4" thickBot="1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4" thickBot="1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4" thickBot="1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4" thickBot="1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4" thickBot="1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4" thickBot="1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4" thickBot="1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4" thickBot="1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4" thickBot="1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4" thickBot="1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4" thickBot="1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4" thickBot="1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4" thickBot="1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4" thickBot="1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4" thickBot="1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4" thickBot="1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4" thickBot="1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4" thickBot="1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4" thickBot="1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4" thickBot="1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4" thickBot="1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4" thickBot="1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4" thickBot="1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4" thickBot="1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4" thickBot="1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4" thickBot="1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4" thickBot="1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4" thickBot="1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4" thickBot="1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4" thickBot="1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4" thickBot="1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4" thickBot="1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4" thickBot="1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4" thickBot="1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4" thickBot="1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4" thickBot="1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4" thickBot="1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4" thickBot="1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4" thickBot="1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4" thickBot="1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4" thickBot="1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4" thickBot="1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4" thickBot="1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4" thickBot="1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4" thickBot="1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4" thickBot="1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4" thickBot="1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4" thickBot="1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4" thickBot="1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4" thickBot="1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4" thickBot="1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4" thickBot="1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4" thickBot="1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4" thickBot="1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4" thickBot="1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4" thickBot="1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4" thickBot="1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4" thickBot="1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4" thickBot="1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4" thickBot="1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4" thickBot="1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4" thickBot="1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4" thickBot="1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4" thickBot="1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4" thickBot="1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4" thickBot="1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4" thickBot="1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4" thickBot="1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4" thickBot="1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4" thickBot="1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4" thickBot="1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4" thickBot="1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4" thickBot="1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4" thickBot="1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4" thickBot="1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4" thickBot="1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4" thickBot="1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4" thickBot="1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4" thickBot="1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4" thickBot="1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4" thickBot="1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4" thickBot="1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4" thickBot="1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4" thickBot="1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4" thickBot="1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4" thickBot="1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4" thickBot="1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4" thickBot="1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4" thickBot="1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4" thickBot="1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4" thickBot="1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4" thickBot="1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4" thickBot="1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4" thickBot="1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4" thickBot="1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4" thickBot="1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4" thickBot="1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4" thickBot="1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4" thickBot="1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4" thickBot="1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4" thickBot="1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4" thickBot="1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4" thickBot="1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4" thickBot="1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4" thickBot="1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4" thickBot="1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4" thickBot="1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4" thickBot="1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4" thickBot="1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4" thickBot="1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4" thickBot="1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4" thickBot="1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4" thickBot="1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4" thickBot="1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4" thickBot="1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4" thickBot="1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4" thickBot="1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4" thickBot="1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4" thickBot="1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4" thickBot="1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4" thickBot="1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4" thickBot="1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4" thickBot="1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4" thickBot="1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4" thickBot="1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4" thickBot="1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4" thickBot="1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4" thickBot="1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4" thickBot="1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4" thickBot="1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4" thickBot="1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4" thickBot="1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4" thickBot="1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4" thickBot="1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4" thickBot="1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4" thickBot="1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4" thickBot="1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4" thickBot="1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4" thickBot="1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4" thickBot="1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4" thickBot="1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4" thickBot="1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4" thickBot="1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4" thickBot="1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4" thickBot="1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4" thickBot="1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4" thickBot="1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4" thickBot="1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4" thickBot="1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4" thickBot="1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4" thickBot="1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4" thickBot="1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4" thickBot="1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4" thickBot="1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4" thickBot="1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4" thickBot="1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4" thickBot="1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4" thickBot="1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4" thickBot="1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4" thickBot="1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4" thickBot="1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4" thickBot="1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4" thickBot="1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4" thickBot="1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4" thickBot="1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4" thickBot="1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4" thickBot="1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4" thickBot="1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4" thickBot="1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4" thickBot="1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4" thickBot="1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4" thickBot="1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4" thickBot="1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4" thickBot="1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4" thickBot="1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4" thickBot="1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4" thickBot="1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4" thickBot="1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4" thickBot="1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4" thickBot="1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4" thickBot="1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4" thickBot="1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4" thickBot="1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4" thickBot="1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4" thickBot="1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4" thickBot="1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4" thickBot="1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4" thickBot="1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4" thickBot="1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4" thickBot="1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4" thickBot="1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4" thickBot="1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4" thickBot="1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4" thickBot="1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4" thickBot="1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4" thickBot="1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4" thickBot="1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4" thickBot="1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4" thickBot="1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4" thickBot="1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4" thickBot="1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4" thickBot="1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4" thickBot="1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4" thickBot="1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4" thickBot="1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4" thickBot="1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4" thickBot="1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4" thickBot="1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4" thickBot="1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4" thickBot="1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4" thickBot="1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4" thickBot="1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4" thickBot="1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4" thickBot="1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4" thickBot="1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4" thickBot="1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4" thickBot="1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4" thickBot="1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4" thickBot="1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4" thickBot="1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4" thickBot="1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4" thickBot="1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4" thickBot="1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4" thickBot="1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4" thickBot="1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4" thickBot="1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4" thickBot="1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4" thickBot="1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4" thickBot="1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4" thickBot="1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4" thickBot="1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4" thickBot="1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4" thickBot="1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4" thickBot="1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4" thickBot="1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4" thickBot="1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4" thickBot="1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4" thickBot="1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4" thickBot="1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4" thickBot="1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4" thickBot="1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4" thickBot="1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4" thickBot="1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4" thickBot="1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4" thickBot="1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4" thickBot="1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4" thickBot="1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4" thickBot="1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4" thickBot="1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4" thickBot="1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4" thickBot="1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4" thickBot="1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4" thickBot="1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4" thickBot="1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4" thickBot="1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4" thickBot="1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4" thickBot="1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4" thickBot="1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4" thickBot="1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4" thickBot="1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4" thickBot="1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4" thickBot="1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4" thickBot="1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4" thickBot="1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4" thickBot="1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4" thickBot="1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4" thickBot="1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4" thickBot="1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4" thickBot="1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4" thickBot="1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4" thickBot="1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4" thickBot="1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4" thickBot="1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4" thickBot="1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4" thickBot="1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4" thickBot="1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4" thickBot="1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4" thickBot="1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4" thickBot="1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4" thickBot="1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4" thickBot="1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4" thickBot="1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4" thickBot="1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4" thickBot="1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4" thickBot="1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4" thickBot="1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4" thickBot="1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4" thickBot="1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4" thickBot="1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4" thickBot="1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4" thickBot="1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4" thickBot="1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4" thickBot="1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4" thickBot="1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4" thickBot="1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4" thickBot="1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4" thickBot="1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4" thickBot="1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4" thickBot="1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4" thickBot="1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4" thickBot="1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4" thickBot="1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4" thickBot="1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4" thickBot="1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4" thickBot="1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4" thickBot="1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4" thickBot="1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4" thickBot="1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4" thickBot="1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4" thickBot="1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4" thickBot="1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4" thickBot="1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4" thickBot="1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4" thickBot="1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4" thickBot="1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4" thickBot="1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4" thickBot="1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4" thickBot="1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4" thickBot="1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4" thickBot="1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4" thickBot="1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4" thickBot="1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4" thickBot="1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4" thickBot="1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4" thickBot="1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4" thickBot="1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4" thickBot="1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4" thickBot="1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4" thickBot="1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4" thickBot="1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4" thickBot="1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4" thickBot="1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4" thickBot="1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4" thickBot="1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4" thickBot="1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4" thickBot="1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4" thickBot="1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4" thickBot="1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4" thickBot="1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4" thickBot="1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4" thickBot="1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4" thickBot="1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4" thickBot="1">
      <c r="A883" s="15">
        <v>46074</v>
      </c>
      <c r="B883" s="8">
        <v>46079</v>
      </c>
      <c r="C883" s="21">
        <v>3.472222222222222E-3</v>
      </c>
      <c r="D883" s="7" t="str">
        <f t="shared" ref="D883:D884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4" thickBot="1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4" thickBot="1">
      <c r="A885" s="15">
        <v>46088</v>
      </c>
      <c r="B885" s="8">
        <v>46092</v>
      </c>
      <c r="C885" s="21">
        <v>0.51388888888888895</v>
      </c>
      <c r="D885" s="7" t="str">
        <f t="shared" ref="D885" si="16">IF(
 AND(
  A885 &gt;= IF(
         YEAR(A885)&gt;=2007,
         DATE(YEAR(A885),3,14)-WEEKDAY(DATE(YEAR(A885),3,14),1)+1 + TIME(2,0,0),
         DATE(YEAR(A885),4,7)-WEEKDAY(DATE(YEAR(A885),4,7),1)+1 + TIME(2,0,0)
       ),
  A885 &lt;  IF(
         YEAR(A885)&gt;=2007,
         DATE(YEAR(A885),11,7)-WEEKDAY(DATE(YEAR(A885),11,7),1)+1 + TIME(2,0,0),
         DATE(YEAR(A885),10,31)-WEEKDAY(DATE(YEAR(A885),10,31),1) + TIME(2,0,0)
       )
 ),
 "UTC-4",
 "UTC-5"
)</f>
        <v>UTC-5</v>
      </c>
      <c r="E885" s="20">
        <v>514996</v>
      </c>
    </row>
    <row r="886" spans="1:5">
      <c r="A886" s="8">
        <v>46102</v>
      </c>
      <c r="B886" s="8">
        <v>46106</v>
      </c>
      <c r="C886" s="21">
        <v>0.50069444444444444</v>
      </c>
      <c r="D886" s="7" t="str">
        <f>IF(
 AND(
  A886 &gt;= IF(
         YEAR(A886)&gt;=2007,
         DATE(YEAR(A886),3,14)-WEEKDAY(DATE(YEAR(A886),3,14),1)+1 + TIME(2,0,0),
         DATE(YEAR(A886),4,7)-WEEKDAY(DATE(YEAR(A886),4,7),1)+1 + TIME(2,0,0)
       ),
  A886 &lt;  IF(
         YEAR(A886)&gt;=2007,
         DATE(YEAR(A886),11,7)-WEEKDAY(DATE(YEAR(A886),11,7),1)+1 + TIME(2,0,0),
         DATE(YEAR(A886),10,31)-WEEKDAY(DATE(YEAR(A886),10,31),1) + TIME(2,0,0)
       )
 ),
 "UTC-4",
 "UTC-5"
)</f>
        <v>UTC-4</v>
      </c>
      <c r="E886" s="20">
        <v>502252</v>
      </c>
    </row>
    <row r="887" spans="1:5">
      <c r="A887" s="8">
        <v>46109</v>
      </c>
      <c r="B887" s="8">
        <v>46113</v>
      </c>
      <c r="C887" s="21">
        <v>0.50069444444444444</v>
      </c>
      <c r="D887" s="8" t="str">
        <f>IF(
 AND(
  A887 &gt;= IF(
         YEAR(A887)&gt;=2007,
         DATE(YEAR(A887),3,14)-WEEKDAY(DATE(YEAR(A887),3,14),1)+1 + TIME(2,0,0),
         DATE(YEAR(A887),4,7)-WEEKDAY(DATE(YEAR(A887),4,7),1)+1 + TIME(2,0,0)
       ),
  A887 &lt;  IF(
         YEAR(A887)&gt;=2007,
         DATE(YEAR(A887),11,7)-WEEKDAY(DATE(YEAR(A887),11,7),1)+1 + TIME(2,0,0),
         DATE(YEAR(A887),10,31)-WEEKDAY(DATE(YEAR(A887),10,31),1) + TIME(2,0,0)
       )
 ),
 "UTC-4",
 "UTC-5"
)</f>
        <v>UTC-4</v>
      </c>
      <c r="E887" s="20">
        <v>515921</v>
      </c>
    </row>
    <row r="888" spans="1:5">
      <c r="A888" s="8">
        <v>46116</v>
      </c>
      <c r="B888" s="8">
        <v>46120</v>
      </c>
      <c r="C888" s="21">
        <v>0.500694444444444</v>
      </c>
      <c r="D888" s="7" t="str">
        <f>IF(
 AND(
  A888 &gt;= IF(
         YEAR(A888)&gt;=2007,
         DATE(YEAR(A888),3,14)-WEEKDAY(DATE(YEAR(A888),3,14),1)+1 + TIME(2,0,0),
         DATE(YEAR(A888),4,7)-WEEKDAY(DATE(YEAR(A888),4,7),1)+1 + TIME(2,0,0)
       ),
  A888 &lt;  IF(
         YEAR(A888)&gt;=2007,
         DATE(YEAR(A888),11,7)-WEEKDAY(DATE(YEAR(A888),11,7),1)+1 + TIME(2,0,0),
         DATE(YEAR(A888),10,31)-WEEKDAY(DATE(YEAR(A888),10,31),1) + TIME(2,0,0)
       )
 ),
 "UTC-4",
 "UTC-5"
)</f>
        <v>UTC-4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G30" sqref="G30"/>
    </sheetView>
  </sheetViews>
  <sheetFormatPr defaultRowHeight="16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81640625" defaultRowHeight="16"/>
  <cols>
    <col min="2" max="2" width="10.1796875" bestFit="1" customWidth="1"/>
  </cols>
  <sheetData>
    <row r="2" spans="2:3">
      <c r="B2" s="1" t="s">
        <v>4</v>
      </c>
      <c r="C2" s="2" t="s">
        <v>10</v>
      </c>
    </row>
    <row r="3" spans="2:3">
      <c r="B3" s="1" t="s">
        <v>5</v>
      </c>
      <c r="C3" t="s">
        <v>9</v>
      </c>
    </row>
    <row r="4" spans="2:3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2026-01-05T10:37:48Z</dcterms:created>
  <dcterms:modified xsi:type="dcterms:W3CDTF">2026-04-06T13:44:34Z</dcterms:modified>
</cp:coreProperties>
</file>